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 Project\"/>
    </mc:Choice>
  </mc:AlternateContent>
  <xr:revisionPtr revIDLastSave="0" documentId="8_{E6913007-8531-41AB-8619-DF5E0E4C897D}" xr6:coauthVersionLast="47" xr6:coauthVersionMax="47" xr10:uidLastSave="{00000000-0000-0000-0000-000000000000}"/>
  <bookViews>
    <workbookView xWindow="-110" yWindow="-110" windowWidth="19420" windowHeight="10420" activeTab="2" xr2:uid="{E51C496B-E92B-4612-84D6-0B2C233ADB5B}"/>
  </bookViews>
  <sheets>
    <sheet name="Sales Data" sheetId="1" r:id="rId1"/>
    <sheet name="sa" sheetId="3" r:id="rId2"/>
    <sheet name="Analy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8" i="2" s="1"/>
  <c r="B13" i="2"/>
  <c r="B14" i="2"/>
  <c r="B12" i="2"/>
  <c r="E13" i="2"/>
  <c r="E12" i="2"/>
  <c r="E11" i="2"/>
  <c r="E4" i="2"/>
  <c r="E5" i="2"/>
  <c r="E6" i="2"/>
  <c r="E3" i="2"/>
  <c r="B7" i="2"/>
  <c r="B6" i="2"/>
  <c r="B5" i="2"/>
  <c r="B4" i="2"/>
  <c r="B3" i="2"/>
  <c r="I12" i="1"/>
  <c r="K12" i="1" s="1"/>
  <c r="J12" i="1"/>
  <c r="I13" i="1"/>
  <c r="J13" i="1"/>
  <c r="K13" i="1"/>
  <c r="I14" i="1"/>
  <c r="J14" i="1"/>
  <c r="K14" i="1"/>
  <c r="I15" i="1"/>
  <c r="J15" i="1"/>
  <c r="K15" i="1" s="1"/>
  <c r="I16" i="1"/>
  <c r="J16" i="1"/>
  <c r="K16" i="1"/>
  <c r="I17" i="1"/>
  <c r="K17" i="1" s="1"/>
  <c r="J17" i="1"/>
  <c r="I18" i="1"/>
  <c r="J18" i="1"/>
  <c r="K18" i="1"/>
  <c r="I19" i="1"/>
  <c r="J19" i="1"/>
  <c r="K19" i="1"/>
  <c r="I20" i="1"/>
  <c r="K20" i="1" s="1"/>
  <c r="J20" i="1"/>
  <c r="I21" i="1"/>
  <c r="K21" i="1" s="1"/>
  <c r="J21" i="1"/>
  <c r="K9" i="1"/>
  <c r="K10" i="1"/>
  <c r="K11" i="1"/>
  <c r="K3" i="1"/>
  <c r="K4" i="1"/>
  <c r="K5" i="1"/>
  <c r="K6" i="1"/>
  <c r="K7" i="1"/>
  <c r="K8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<sst xmlns="http://schemas.openxmlformats.org/spreadsheetml/2006/main" count="117" uniqueCount="62">
  <si>
    <t>Order_ID</t>
  </si>
  <si>
    <t>Order_Date</t>
  </si>
  <si>
    <t>Region</t>
  </si>
  <si>
    <t>Category</t>
  </si>
  <si>
    <t>Product</t>
  </si>
  <si>
    <t>Quantity</t>
  </si>
  <si>
    <t>Unit_Price</t>
  </si>
  <si>
    <t>Unit_Cost</t>
  </si>
  <si>
    <t>ORD001</t>
  </si>
  <si>
    <t>South</t>
  </si>
  <si>
    <t>Electronics</t>
  </si>
  <si>
    <t>Laptop</t>
  </si>
  <si>
    <t>ORD002</t>
  </si>
  <si>
    <t>North</t>
  </si>
  <si>
    <t>Furniture</t>
  </si>
  <si>
    <t>Chair</t>
  </si>
  <si>
    <t>ORD003</t>
  </si>
  <si>
    <t>East</t>
  </si>
  <si>
    <t>Mouse</t>
  </si>
  <si>
    <t>ORD004</t>
  </si>
  <si>
    <t>West</t>
  </si>
  <si>
    <t>Table</t>
  </si>
  <si>
    <t>ORD005</t>
  </si>
  <si>
    <t>Accessories</t>
  </si>
  <si>
    <t>Keyboard</t>
  </si>
  <si>
    <t>ORD006</t>
  </si>
  <si>
    <t>Monitor</t>
  </si>
  <si>
    <t>ORD007</t>
  </si>
  <si>
    <t>Headphones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</si>
  <si>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</si>
  <si>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</si>
  <si>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</si>
  <si>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</si>
  <si>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</si>
  <si>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</si>
  <si>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</si>
  <si>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</si>
  <si>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</si>
  <si>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</si>
  <si>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</si>
  <si>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</si>
  <si>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</si>
  <si>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REVENUE</t>
  </si>
  <si>
    <t>TOTAL COST</t>
  </si>
  <si>
    <t>PROFIT</t>
  </si>
  <si>
    <t>16000</t>
  </si>
  <si>
    <t>SALES PERFORMANCE ANALYSIS</t>
  </si>
  <si>
    <t>Total Profit</t>
  </si>
  <si>
    <t>Total Orders</t>
  </si>
  <si>
    <t>Total Units Sold</t>
  </si>
  <si>
    <t>Profit Margin</t>
  </si>
  <si>
    <t>Month</t>
  </si>
  <si>
    <t>Jan</t>
  </si>
  <si>
    <t>Feb</t>
  </si>
  <si>
    <t>Mar</t>
  </si>
  <si>
    <t>revenue</t>
  </si>
  <si>
    <t>cost</t>
  </si>
  <si>
    <t>Profit</t>
  </si>
  <si>
    <t>average order value</t>
  </si>
  <si>
    <t>monthly revenue</t>
  </si>
  <si>
    <t>regional revenue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</si>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</sst>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10" fontId="0" fillId="2" borderId="0" xfId="1" applyNumberFormat="1" applyFont="1" applyFill="1" applyAlignment="1">
      <alignment vertical="center" wrapText="1"/>
    </xf>
  </cellXfs>
  <cellStyles count="2">
    <cellStyle name="Normal" xfId="0" builtinId="0"/>
    <cellStyle name="Percent" xfId="1" builtinId="5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</a:t>
            </a:r>
            <a:r>
              <a:rPr lang="en-US"/>
              <a:t>egion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86652668416448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regional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Analysis!$D$3:$D$6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Analysis!$E$3:$E$6</c:f>
              <c:numCache>
                <c:formatCode>General</c:formatCode>
                <c:ptCount val="4"/>
                <c:pt idx="0">
                  <c:v>226800</c:v>
                </c:pt>
                <c:pt idx="1">
                  <c:v>138500</c:v>
                </c:pt>
                <c:pt idx="2">
                  <c:v>99000</c:v>
                </c:pt>
                <c:pt idx="3">
                  <c:v>156500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B-400C-B1F2-B07F7284C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548168"/>
        <c:axId val="478546056"/>
      </c:barChart>
      <c:catAx>
        <c:axId val="47854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46056"/>
        <c:crosses val="autoZero"/>
        <c:auto val="1"/>
        <c:lblAlgn val="ctr"/>
        <c:lblOffset val="100"/>
        <c:noMultiLvlLbl val="0"/>
      </c:catAx>
      <c:valAx>
        <c:axId val="47854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48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Analysis!$E$10</c:f>
              <c:strCache>
                <c:ptCount val="1"/>
                <c:pt idx="0">
                  <c:v>monthly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Analysis!$D$11:$D$13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Analysis!$E$11:$E$13</c:f>
              <c:numCache>
                <c:formatCode>General</c:formatCode>
                <c:ptCount val="3"/>
                <c:pt idx="0">
                  <c:v>284700</c:v>
                </c:pt>
                <c:pt idx="1">
                  <c:v>244100</c:v>
                </c:pt>
                <c:pt idx="2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7-48C8-9FDE-6207CC2E0A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8558024"/>
        <c:axId val="478560136"/>
      </c:barChart>
      <c:catAx>
        <c:axId val="47855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60136"/>
        <c:crosses val="autoZero"/>
        <c:auto val="1"/>
        <c:lblAlgn val="ctr"/>
        <c:lblOffset val="100"/>
        <c:noMultiLvlLbl val="0"/>
      </c:catAx>
      <c:valAx>
        <c:axId val="478560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58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Analysis!$A$12:$A$14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Analysis!$B$12:$B$14</c:f>
              <c:numCache>
                <c:formatCode>General</c:formatCode>
                <c:ptCount val="3"/>
                <c:pt idx="0">
                  <c:v>64000</c:v>
                </c:pt>
                <c:pt idx="1">
                  <c:v>28500</c:v>
                </c:pt>
                <c:pt idx="2">
                  <c:v>21700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D-45A6-868D-A0AB8ADF3D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8566120"/>
        <c:axId val="478564008"/>
      </c:barChart>
      <c:catAx>
        <c:axId val="47856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64008"/>
        <c:crosses val="autoZero"/>
        <c:auto val="1"/>
        <c:lblAlgn val="ctr"/>
        <c:lblOffset val="100"/>
        <c:noMultiLvlLbl val="0"/>
      </c:catAx>
      <c:valAx>
        <c:axId val="47856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6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0</xdr:row>
      <xdr:rowOff>0</xdr:rowOff>
    </xdr:from>
    <xdr:to>
      <xdr:col>9</xdr:col>
      <xdr:colOff>504824</xdr:colOff>
      <xdr:row>10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040F94-0FFD-DEF5-CC58-54BDAACA9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0</xdr:row>
      <xdr:rowOff>12700</xdr:rowOff>
    </xdr:from>
    <xdr:to>
      <xdr:col>15</xdr:col>
      <xdr:colOff>365124</xdr:colOff>
      <xdr:row>10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F06203-5E92-BE2C-B44E-27A09FBA8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196850</xdr:colOff>
      <xdr:row>11</xdr:row>
      <xdr:rowOff>133350</xdr:rowOff>
    </xdr:from>
    <xdr:to>
      <xdr:col>9</xdr:col>
      <xdr:colOff>530224</xdr:colOff>
      <xdr:row>22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A01CE1-00EF-1EEE-C4C4-441F23395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F2458-9688-4301-8FBB-A7DBDD078281}" name="Table1" displayName="Table1" ref="K2:K21" totalsRowShown="0">
  <autoFilter ref="K2:K21" xr:uid="{E37F2458-9688-4301-8FBB-A7DBDD078281}"/>
  <tableColumns count="1">
    <tableColumn id="1" xr3:uid="{2B445DB5-0C05-40C3-99CA-2976F4624482}" name="16000">
      <calculatedColumnFormula>I3-J3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B519E3-CB00-4B46-AE48-B9B0555D776A}" name="Table2" displayName="Table2" ref="A1:B8" totalsRowShown="0">
  <autoFilter ref="A1:B8" xr:uid="{AFB519E3-CB00-4B46-AE48-B9B0555D776A}"/>
  <tableColumns count="2">
    <tableColumn id="1" xr3:uid="{F7D50290-7596-42D8-835B-939E861DC6D9}" name="SALES PERFORMANCE ANALYSIS" dataDxfId="13"/>
    <tableColumn id="2" xr3:uid="{9280C231-8BB9-4461-9131-197981B00A0F}" name="Column1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4CCF37-3460-466B-A244-A68268F439F4}" name="Table3" displayName="Table3" ref="D2:E6" totalsRowShown="0" headerRowDxfId="8" dataDxfId="9">
  <autoFilter ref="D2:E6" xr:uid="{184CCF37-3460-466B-A244-A68268F439F4}"/>
  <tableColumns count="2">
    <tableColumn id="1" xr3:uid="{FCEBC558-A4C9-4FAC-8430-5F86D391B96D}" name="Region" dataDxfId="11"/>
    <tableColumn id="2" xr3:uid="{A41689AA-2F09-4CE8-AFE1-61217ED5414E}" name="regional revenue" dataDxfId="10">
      <calculatedColumnFormula>SUMIFS('Sales Data'!$I$2:$I$21,'Sales Data'!$C$2:$C$21,D3)</calculatedColumnFormula>
    </tableColumn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8AE910-91AF-4560-85EA-0851D4845B06}" name="Table4" displayName="Table4" ref="A11:B14" totalsRowShown="0" headerRowDxfId="4" dataDxfId="5">
  <autoFilter ref="A11:B14" xr:uid="{838AE910-91AF-4560-85EA-0851D4845B06}"/>
  <tableColumns count="2">
    <tableColumn id="1" xr3:uid="{13534D24-D2B7-48B5-8E18-255D3AEC1C44}" name="Category" dataDxfId="7"/>
    <tableColumn id="2" xr3:uid="{DF5F76F1-738C-4020-BD51-DDE61019B1C3}" name="Total Profit" dataDxfId="6">
      <calculatedColumnFormula>SUMIF('Sales Data'!D:D,A12,'Sales Data'!K:K)</calculatedColumnFormula>
    </tableColumn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E9C21B-C281-4D9B-BB4C-D76A56C59039}" name="Table5" displayName="Table5" ref="D10:E13" totalsRowShown="0" headerRowDxfId="0" dataDxfId="1">
  <autoFilter ref="D10:E13" xr:uid="{96E9C21B-C281-4D9B-BB4C-D76A56C59039}"/>
  <tableColumns count="2">
    <tableColumn id="1" xr3:uid="{EAA4D814-B32F-41CA-9079-19E7730E83DA}" name="Month" dataDxfId="3"/>
    <tableColumn id="2" xr3:uid="{F02A64E4-47BD-4A3C-9FBE-014BD8D86BB5}" name="monthly revenue" dataDxfId="2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3AE3-E2DB-4753-A48B-95E742131A89}">
  <dimension ref="A1:K21"/>
  <sheetViews>
    <sheetView workbookViewId="0">
      <selection activeCell="M8" sqref="M8"/>
    </sheetView>
  </sheetViews>
  <sheetFormatPr defaultRowHeight="14.5" x14ac:dyDescent="0.35"/>
  <cols>
    <col min="2" max="2" width="13.453125" customWidth="1"/>
    <col min="3" max="3" width="9.81640625" customWidth="1"/>
    <col min="4" max="4" width="11.7265625" customWidth="1"/>
    <col min="7" max="7" width="11.90625" customWidth="1"/>
    <col min="8" max="8" width="11.81640625" customWidth="1"/>
    <col min="9" max="9" width="11.26953125" customWidth="1"/>
    <col min="10" max="10" width="13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42</v>
      </c>
      <c r="J1" s="3" t="s">
        <v>43</v>
      </c>
      <c r="K1" s="3" t="s">
        <v>44</v>
      </c>
    </row>
    <row r="2" spans="1:11" x14ac:dyDescent="0.35">
      <c r="A2" s="4" t="s">
        <v>8</v>
      </c>
      <c r="B2" s="5">
        <v>46023</v>
      </c>
      <c r="C2" s="4" t="s">
        <v>9</v>
      </c>
      <c r="D2" s="4" t="s">
        <v>10</v>
      </c>
      <c r="E2" s="4" t="s">
        <v>11</v>
      </c>
      <c r="F2" s="2">
        <v>2</v>
      </c>
      <c r="G2" s="2">
        <v>50000</v>
      </c>
      <c r="H2" s="2">
        <v>42000</v>
      </c>
      <c r="I2">
        <f>F2*G2</f>
        <v>100000</v>
      </c>
      <c r="J2">
        <f>F2*H2</f>
        <v>84000</v>
      </c>
      <c r="K2" t="s">
        <v>45</v>
      </c>
    </row>
    <row r="3" spans="1:11" x14ac:dyDescent="0.35">
      <c r="A3" s="4" t="s">
        <v>12</v>
      </c>
      <c r="B3" s="5">
        <v>46025</v>
      </c>
      <c r="C3" s="4" t="s">
        <v>13</v>
      </c>
      <c r="D3" s="4" t="s">
        <v>14</v>
      </c>
      <c r="E3" s="4" t="s">
        <v>15</v>
      </c>
      <c r="F3" s="2">
        <v>5</v>
      </c>
      <c r="G3" s="2">
        <v>2500</v>
      </c>
      <c r="H3" s="2">
        <v>1800</v>
      </c>
      <c r="I3">
        <f t="shared" ref="I3:I20" si="0">F3*G3</f>
        <v>12500</v>
      </c>
      <c r="J3">
        <f t="shared" ref="J3:J21" si="1">F3*H3</f>
        <v>9000</v>
      </c>
      <c r="K3">
        <f t="shared" ref="K3:K21" si="2">I3-J3</f>
        <v>3500</v>
      </c>
    </row>
    <row r="4" spans="1:11" x14ac:dyDescent="0.35">
      <c r="A4" s="4" t="s">
        <v>16</v>
      </c>
      <c r="B4" s="5">
        <v>46027</v>
      </c>
      <c r="C4" s="4" t="s">
        <v>17</v>
      </c>
      <c r="D4" s="4" t="s">
        <v>10</v>
      </c>
      <c r="E4" s="4" t="s">
        <v>18</v>
      </c>
      <c r="F4" s="2">
        <v>10</v>
      </c>
      <c r="G4" s="2">
        <v>500</v>
      </c>
      <c r="H4" s="2">
        <v>300</v>
      </c>
      <c r="I4">
        <f t="shared" si="0"/>
        <v>5000</v>
      </c>
      <c r="J4">
        <f t="shared" si="1"/>
        <v>3000</v>
      </c>
      <c r="K4">
        <f t="shared" si="2"/>
        <v>2000</v>
      </c>
    </row>
    <row r="5" spans="1:11" x14ac:dyDescent="0.35">
      <c r="A5" s="4" t="s">
        <v>19</v>
      </c>
      <c r="B5" s="5">
        <v>46030</v>
      </c>
      <c r="C5" s="4" t="s">
        <v>20</v>
      </c>
      <c r="D5" s="4" t="s">
        <v>14</v>
      </c>
      <c r="E5" s="4" t="s">
        <v>21</v>
      </c>
      <c r="F5" s="2">
        <v>3</v>
      </c>
      <c r="G5" s="2">
        <v>8000</v>
      </c>
      <c r="H5" s="2">
        <v>6000</v>
      </c>
      <c r="I5">
        <f t="shared" si="0"/>
        <v>24000</v>
      </c>
      <c r="J5">
        <f t="shared" si="1"/>
        <v>18000</v>
      </c>
      <c r="K5">
        <f t="shared" si="2"/>
        <v>6000</v>
      </c>
    </row>
    <row r="6" spans="1:11" x14ac:dyDescent="0.35">
      <c r="A6" s="4" t="s">
        <v>22</v>
      </c>
      <c r="B6" s="5">
        <v>46032</v>
      </c>
      <c r="C6" s="4" t="s">
        <v>9</v>
      </c>
      <c r="D6" s="4" t="s">
        <v>23</v>
      </c>
      <c r="E6" s="4" t="s">
        <v>24</v>
      </c>
      <c r="F6" s="2">
        <v>6</v>
      </c>
      <c r="G6" s="2">
        <v>1200</v>
      </c>
      <c r="H6" s="2">
        <v>800</v>
      </c>
      <c r="I6">
        <f t="shared" si="0"/>
        <v>7200</v>
      </c>
      <c r="J6">
        <f t="shared" si="1"/>
        <v>4800</v>
      </c>
      <c r="K6">
        <f t="shared" si="2"/>
        <v>2400</v>
      </c>
    </row>
    <row r="7" spans="1:11" x14ac:dyDescent="0.35">
      <c r="A7" s="4" t="s">
        <v>25</v>
      </c>
      <c r="B7" s="5">
        <v>46034</v>
      </c>
      <c r="C7" s="4" t="s">
        <v>13</v>
      </c>
      <c r="D7" s="4" t="s">
        <v>10</v>
      </c>
      <c r="E7" s="4" t="s">
        <v>26</v>
      </c>
      <c r="F7" s="2">
        <v>4</v>
      </c>
      <c r="G7" s="2">
        <v>12000</v>
      </c>
      <c r="H7" s="2">
        <v>9500</v>
      </c>
      <c r="I7">
        <f t="shared" si="0"/>
        <v>48000</v>
      </c>
      <c r="J7">
        <f t="shared" si="1"/>
        <v>38000</v>
      </c>
      <c r="K7">
        <f t="shared" si="2"/>
        <v>10000</v>
      </c>
    </row>
    <row r="8" spans="1:11" ht="29" x14ac:dyDescent="0.35">
      <c r="A8" s="4" t="s">
        <v>27</v>
      </c>
      <c r="B8" s="5">
        <v>46037</v>
      </c>
      <c r="C8" s="4" t="s">
        <v>17</v>
      </c>
      <c r="D8" s="4" t="s">
        <v>23</v>
      </c>
      <c r="E8" s="4" t="s">
        <v>28</v>
      </c>
      <c r="F8" s="2">
        <v>8</v>
      </c>
      <c r="G8" s="2">
        <v>2000</v>
      </c>
      <c r="H8" s="2">
        <v>1300</v>
      </c>
      <c r="I8">
        <f t="shared" si="0"/>
        <v>16000</v>
      </c>
      <c r="J8">
        <f t="shared" si="1"/>
        <v>10400</v>
      </c>
      <c r="K8">
        <f t="shared" si="2"/>
        <v>5600</v>
      </c>
    </row>
    <row r="9" spans="1:11" x14ac:dyDescent="0.35">
      <c r="A9" s="4" t="s">
        <v>29</v>
      </c>
      <c r="B9" s="5">
        <v>46040</v>
      </c>
      <c r="C9" s="4" t="s">
        <v>20</v>
      </c>
      <c r="D9" s="4" t="s">
        <v>10</v>
      </c>
      <c r="E9" s="4" t="s">
        <v>11</v>
      </c>
      <c r="F9" s="2">
        <v>1</v>
      </c>
      <c r="G9" s="2">
        <v>50000</v>
      </c>
      <c r="H9" s="2">
        <v>42000</v>
      </c>
      <c r="I9">
        <f t="shared" si="0"/>
        <v>50000</v>
      </c>
      <c r="J9">
        <f t="shared" si="1"/>
        <v>42000</v>
      </c>
      <c r="K9">
        <f>I9-J9</f>
        <v>8000</v>
      </c>
    </row>
    <row r="10" spans="1:11" x14ac:dyDescent="0.35">
      <c r="A10" s="4" t="s">
        <v>30</v>
      </c>
      <c r="B10" s="5">
        <v>46042</v>
      </c>
      <c r="C10" s="4" t="s">
        <v>9</v>
      </c>
      <c r="D10" s="4" t="s">
        <v>14</v>
      </c>
      <c r="E10" s="4" t="s">
        <v>15</v>
      </c>
      <c r="F10" s="2">
        <v>4</v>
      </c>
      <c r="G10" s="2">
        <v>2500</v>
      </c>
      <c r="H10" s="2">
        <v>1800</v>
      </c>
      <c r="I10">
        <f t="shared" si="0"/>
        <v>10000</v>
      </c>
      <c r="J10">
        <f t="shared" si="1"/>
        <v>7200</v>
      </c>
      <c r="K10">
        <f t="shared" si="2"/>
        <v>2800</v>
      </c>
    </row>
    <row r="11" spans="1:11" x14ac:dyDescent="0.35">
      <c r="A11" s="4" t="s">
        <v>31</v>
      </c>
      <c r="B11" s="5">
        <v>46044</v>
      </c>
      <c r="C11" s="4" t="s">
        <v>13</v>
      </c>
      <c r="D11" s="4" t="s">
        <v>23</v>
      </c>
      <c r="E11" s="4" t="s">
        <v>24</v>
      </c>
      <c r="F11" s="2">
        <v>10</v>
      </c>
      <c r="G11" s="2">
        <v>1200</v>
      </c>
      <c r="H11" s="2">
        <v>800</v>
      </c>
      <c r="I11">
        <f t="shared" si="0"/>
        <v>12000</v>
      </c>
      <c r="J11">
        <f t="shared" si="1"/>
        <v>8000</v>
      </c>
      <c r="K11">
        <f t="shared" si="2"/>
        <v>4000</v>
      </c>
    </row>
    <row r="12" spans="1:11" x14ac:dyDescent="0.35">
      <c r="A12" s="4" t="s">
        <v>32</v>
      </c>
      <c r="B12" s="5">
        <v>46055</v>
      </c>
      <c r="C12" s="4" t="s">
        <v>17</v>
      </c>
      <c r="D12" s="4" t="s">
        <v>10</v>
      </c>
      <c r="E12" s="4" t="s">
        <v>26</v>
      </c>
      <c r="F12" s="2">
        <v>3</v>
      </c>
      <c r="G12" s="2">
        <v>12000</v>
      </c>
      <c r="H12" s="2">
        <v>9500</v>
      </c>
      <c r="I12">
        <f>F12*G12</f>
        <v>36000</v>
      </c>
      <c r="J12">
        <f>F12*H12</f>
        <v>28500</v>
      </c>
      <c r="K12">
        <f>I12-J12</f>
        <v>7500</v>
      </c>
    </row>
    <row r="13" spans="1:11" x14ac:dyDescent="0.35">
      <c r="A13" s="4" t="s">
        <v>33</v>
      </c>
      <c r="B13" s="5">
        <v>46058</v>
      </c>
      <c r="C13" s="4" t="s">
        <v>20</v>
      </c>
      <c r="D13" s="4" t="s">
        <v>23</v>
      </c>
      <c r="E13" s="4" t="s">
        <v>18</v>
      </c>
      <c r="F13" s="2">
        <v>15</v>
      </c>
      <c r="G13" s="2">
        <v>500</v>
      </c>
      <c r="H13" s="2">
        <v>300</v>
      </c>
      <c r="I13">
        <f t="shared" si="0"/>
        <v>7500</v>
      </c>
      <c r="J13">
        <f t="shared" si="1"/>
        <v>4500</v>
      </c>
      <c r="K13">
        <f t="shared" si="2"/>
        <v>3000</v>
      </c>
    </row>
    <row r="14" spans="1:11" x14ac:dyDescent="0.35">
      <c r="A14" s="4" t="s">
        <v>34</v>
      </c>
      <c r="B14" s="5">
        <v>46061</v>
      </c>
      <c r="C14" s="4" t="s">
        <v>9</v>
      </c>
      <c r="D14" s="4" t="s">
        <v>10</v>
      </c>
      <c r="E14" s="4" t="s">
        <v>11</v>
      </c>
      <c r="F14" s="2">
        <v>2</v>
      </c>
      <c r="G14" s="2">
        <v>50000</v>
      </c>
      <c r="H14" s="2">
        <v>42000</v>
      </c>
      <c r="I14">
        <f t="shared" si="0"/>
        <v>100000</v>
      </c>
      <c r="J14">
        <f t="shared" si="1"/>
        <v>84000</v>
      </c>
      <c r="K14">
        <f t="shared" si="2"/>
        <v>16000</v>
      </c>
    </row>
    <row r="15" spans="1:11" x14ac:dyDescent="0.35">
      <c r="A15" s="4" t="s">
        <v>35</v>
      </c>
      <c r="B15" s="5">
        <v>46064</v>
      </c>
      <c r="C15" s="4" t="s">
        <v>13</v>
      </c>
      <c r="D15" s="4" t="s">
        <v>14</v>
      </c>
      <c r="E15" s="4" t="s">
        <v>21</v>
      </c>
      <c r="F15" s="2">
        <v>2</v>
      </c>
      <c r="G15" s="2">
        <v>8000</v>
      </c>
      <c r="H15" s="2">
        <v>6000</v>
      </c>
      <c r="I15">
        <f t="shared" si="0"/>
        <v>16000</v>
      </c>
      <c r="J15">
        <f t="shared" si="1"/>
        <v>12000</v>
      </c>
      <c r="K15">
        <f t="shared" si="2"/>
        <v>4000</v>
      </c>
    </row>
    <row r="16" spans="1:11" ht="29" x14ac:dyDescent="0.35">
      <c r="A16" s="4" t="s">
        <v>36</v>
      </c>
      <c r="B16" s="5">
        <v>46068</v>
      </c>
      <c r="C16" s="4" t="s">
        <v>17</v>
      </c>
      <c r="D16" s="4" t="s">
        <v>23</v>
      </c>
      <c r="E16" s="4" t="s">
        <v>28</v>
      </c>
      <c r="F16" s="2">
        <v>5</v>
      </c>
      <c r="G16" s="2">
        <v>2000</v>
      </c>
      <c r="H16" s="2">
        <v>1300</v>
      </c>
      <c r="I16">
        <f t="shared" si="0"/>
        <v>10000</v>
      </c>
      <c r="J16">
        <f t="shared" si="1"/>
        <v>6500</v>
      </c>
      <c r="K16">
        <f t="shared" si="2"/>
        <v>3500</v>
      </c>
    </row>
    <row r="17" spans="1:11" x14ac:dyDescent="0.35">
      <c r="A17" s="4" t="s">
        <v>37</v>
      </c>
      <c r="B17" s="5">
        <v>46071</v>
      </c>
      <c r="C17" s="4" t="s">
        <v>20</v>
      </c>
      <c r="D17" s="4" t="s">
        <v>14</v>
      </c>
      <c r="E17" s="4" t="s">
        <v>15</v>
      </c>
      <c r="F17" s="2">
        <v>6</v>
      </c>
      <c r="G17" s="2">
        <v>2500</v>
      </c>
      <c r="H17" s="2">
        <v>1800</v>
      </c>
      <c r="I17">
        <f t="shared" si="0"/>
        <v>15000</v>
      </c>
      <c r="J17">
        <f t="shared" si="1"/>
        <v>10800</v>
      </c>
      <c r="K17">
        <f t="shared" si="2"/>
        <v>4200</v>
      </c>
    </row>
    <row r="18" spans="1:11" x14ac:dyDescent="0.35">
      <c r="A18" s="4" t="s">
        <v>38</v>
      </c>
      <c r="B18" s="5">
        <v>46074</v>
      </c>
      <c r="C18" s="4" t="s">
        <v>9</v>
      </c>
      <c r="D18" s="4" t="s">
        <v>23</v>
      </c>
      <c r="E18" s="4" t="s">
        <v>24</v>
      </c>
      <c r="F18" s="2">
        <v>8</v>
      </c>
      <c r="G18" s="2">
        <v>1200</v>
      </c>
      <c r="H18" s="2">
        <v>800</v>
      </c>
      <c r="I18">
        <f t="shared" si="0"/>
        <v>9600</v>
      </c>
      <c r="J18">
        <f t="shared" si="1"/>
        <v>6400</v>
      </c>
      <c r="K18">
        <f t="shared" si="2"/>
        <v>3200</v>
      </c>
    </row>
    <row r="19" spans="1:11" x14ac:dyDescent="0.35">
      <c r="A19" s="4" t="s">
        <v>39</v>
      </c>
      <c r="B19" s="5">
        <v>46078</v>
      </c>
      <c r="C19" s="4" t="s">
        <v>13</v>
      </c>
      <c r="D19" s="4" t="s">
        <v>10</v>
      </c>
      <c r="E19" s="4" t="s">
        <v>11</v>
      </c>
      <c r="F19" s="2">
        <v>1</v>
      </c>
      <c r="G19" s="2">
        <v>50000</v>
      </c>
      <c r="H19" s="2">
        <v>42000</v>
      </c>
      <c r="I19">
        <f>F19*G19</f>
        <v>50000</v>
      </c>
      <c r="J19">
        <f t="shared" si="1"/>
        <v>42000</v>
      </c>
      <c r="K19">
        <f>I19-J19</f>
        <v>8000</v>
      </c>
    </row>
    <row r="20" spans="1:11" x14ac:dyDescent="0.35">
      <c r="A20" s="4" t="s">
        <v>40</v>
      </c>
      <c r="B20" s="5">
        <v>46084</v>
      </c>
      <c r="C20" s="4" t="s">
        <v>17</v>
      </c>
      <c r="D20" s="4" t="s">
        <v>14</v>
      </c>
      <c r="E20" s="4" t="s">
        <v>21</v>
      </c>
      <c r="F20" s="2">
        <v>4</v>
      </c>
      <c r="G20" s="2">
        <v>8000</v>
      </c>
      <c r="H20" s="2">
        <v>6000</v>
      </c>
      <c r="I20">
        <f t="shared" si="0"/>
        <v>32000</v>
      </c>
      <c r="J20">
        <f>F20*H20</f>
        <v>24000</v>
      </c>
      <c r="K20">
        <f t="shared" si="2"/>
        <v>8000</v>
      </c>
    </row>
    <row r="21" spans="1:11" x14ac:dyDescent="0.35">
      <c r="A21" s="4" t="s">
        <v>41</v>
      </c>
      <c r="B21" s="5">
        <v>46088</v>
      </c>
      <c r="C21" s="4" t="s">
        <v>20</v>
      </c>
      <c r="D21" s="4" t="s">
        <v>10</v>
      </c>
      <c r="E21" s="4" t="s">
        <v>26</v>
      </c>
      <c r="F21" s="2">
        <v>5</v>
      </c>
      <c r="G21" s="2">
        <v>12000</v>
      </c>
      <c r="H21" s="2">
        <v>9500</v>
      </c>
      <c r="I21">
        <f>F21*G21</f>
        <v>60000</v>
      </c>
      <c r="J21">
        <f t="shared" si="1"/>
        <v>47500</v>
      </c>
      <c r="K21">
        <f t="shared" si="2"/>
        <v>12500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601D-D899-40B4-AC07-91B7F757C75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1E1A-6B83-40C6-B42E-9BA0763D8ACA}">
  <dimension ref="A1:E14"/>
  <sheetViews>
    <sheetView showGridLines="0" tabSelected="1" zoomScaleNormal="100" workbookViewId="0">
      <selection activeCell="D17" sqref="D17"/>
    </sheetView>
  </sheetViews>
  <sheetFormatPr defaultRowHeight="14.5" x14ac:dyDescent="0.35"/>
  <cols>
    <col min="1" max="1" width="41.81640625" customWidth="1"/>
    <col min="2" max="2" width="12.26953125" customWidth="1"/>
    <col min="5" max="5" width="17.08984375" customWidth="1"/>
  </cols>
  <sheetData>
    <row r="1" spans="1:5" ht="21" x14ac:dyDescent="0.5">
      <c r="A1" s="8" t="s">
        <v>46</v>
      </c>
      <c r="B1" s="9" t="s">
        <v>61</v>
      </c>
    </row>
    <row r="2" spans="1:5" x14ac:dyDescent="0.35">
      <c r="A2" s="6" t="s">
        <v>55</v>
      </c>
      <c r="B2" s="10">
        <f>SUM('Sales Data'!I2:I21)</f>
        <v>620800</v>
      </c>
      <c r="D2" s="7" t="s">
        <v>2</v>
      </c>
      <c r="E2" s="7" t="s">
        <v>60</v>
      </c>
    </row>
    <row r="3" spans="1:5" x14ac:dyDescent="0.35">
      <c r="A3" s="6" t="s">
        <v>56</v>
      </c>
      <c r="B3" s="10">
        <f>SUM('Sales Data'!J2:J21)</f>
        <v>490600</v>
      </c>
      <c r="D3" s="6" t="s">
        <v>9</v>
      </c>
      <c r="E3" s="6">
        <f>SUMIFS('Sales Data'!$I$2:$I$21,'Sales Data'!$C$2:$C$21,D3)</f>
        <v>226800</v>
      </c>
    </row>
    <row r="4" spans="1:5" x14ac:dyDescent="0.35">
      <c r="A4" s="6" t="s">
        <v>57</v>
      </c>
      <c r="B4" s="10">
        <f>SUM('Sales Data'!K2:K21)</f>
        <v>114200</v>
      </c>
      <c r="D4" s="6" t="s">
        <v>13</v>
      </c>
      <c r="E4" s="6">
        <f>SUMIFS('Sales Data'!$I$2:$I$21,'Sales Data'!$C$2:$C$21,D4)</f>
        <v>138500</v>
      </c>
    </row>
    <row r="5" spans="1:5" x14ac:dyDescent="0.35">
      <c r="A5" s="6" t="s">
        <v>48</v>
      </c>
      <c r="B5" s="10">
        <f>COUNTA('Sales Data'!A2:A21)</f>
        <v>20</v>
      </c>
      <c r="D5" s="6" t="s">
        <v>17</v>
      </c>
      <c r="E5" s="6">
        <f>SUMIFS('Sales Data'!$I$2:$I$21,'Sales Data'!$C$2:$C$21,D5)</f>
        <v>99000</v>
      </c>
    </row>
    <row r="6" spans="1:5" x14ac:dyDescent="0.35">
      <c r="A6" s="6" t="s">
        <v>49</v>
      </c>
      <c r="B6" s="10">
        <f>SUM('Sales Data'!F2:F21)</f>
        <v>104</v>
      </c>
      <c r="D6" s="6" t="s">
        <v>20</v>
      </c>
      <c r="E6" s="6">
        <f>SUMIFS('Sales Data'!$I$2:$I$21,'Sales Data'!$C$2:$C$21,D6)</f>
        <v>156500</v>
      </c>
    </row>
    <row r="7" spans="1:5" x14ac:dyDescent="0.35">
      <c r="A7" s="6" t="s">
        <v>58</v>
      </c>
      <c r="B7" s="10">
        <f>AVERAGE('Sales Data'!I2:I21)</f>
        <v>31040</v>
      </c>
    </row>
    <row r="8" spans="1:5" x14ac:dyDescent="0.35">
      <c r="A8" s="6" t="s">
        <v>50</v>
      </c>
      <c r="B8" s="11">
        <f>B4/B2</f>
        <v>0.18395618556701032</v>
      </c>
    </row>
    <row r="9" spans="1:5" x14ac:dyDescent="0.35">
      <c r="A9" s="4"/>
      <c r="B9" s="4"/>
    </row>
    <row r="10" spans="1:5" x14ac:dyDescent="0.35">
      <c r="D10" s="7" t="s">
        <v>51</v>
      </c>
      <c r="E10" s="7" t="s">
        <v>59</v>
      </c>
    </row>
    <row r="11" spans="1:5" x14ac:dyDescent="0.35">
      <c r="A11" s="7" t="s">
        <v>3</v>
      </c>
      <c r="B11" s="7" t="s">
        <v>47</v>
      </c>
      <c r="D11" s="6" t="s">
        <v>52</v>
      </c>
      <c r="E11" s="6">
        <f>SUMIFS('Sales Data'!$I$2:$I$21,'Sales Data'!$B$2:$B$21,"&gt;="&amp;DATE(2026,1,1),'Sales Data'!$B$2:$B$21,"&lt;"&amp;DATE(2026,2,1))</f>
        <v>284700</v>
      </c>
    </row>
    <row r="12" spans="1:5" x14ac:dyDescent="0.35">
      <c r="A12" s="6" t="s">
        <v>10</v>
      </c>
      <c r="B12" s="6">
        <f>SUMIF('Sales Data'!D:D,A12,'Sales Data'!K:K)</f>
        <v>64000</v>
      </c>
      <c r="D12" s="6" t="s">
        <v>53</v>
      </c>
      <c r="E12" s="6">
        <f>SUMIFS('Sales Data'!$I$2:$I$21,'Sales Data'!$B$2:$B$21,"&gt;="&amp;DATE(2026,2,1),'Sales Data'!$B$2:$B$21,"&lt;"&amp;DATE(2026,3,1))</f>
        <v>244100</v>
      </c>
    </row>
    <row r="13" spans="1:5" x14ac:dyDescent="0.35">
      <c r="A13" s="6" t="s">
        <v>14</v>
      </c>
      <c r="B13" s="6">
        <f>SUMIF('Sales Data'!D:D,A13,'Sales Data'!K:K)</f>
        <v>28500</v>
      </c>
      <c r="D13" s="6" t="s">
        <v>54</v>
      </c>
      <c r="E13" s="6">
        <f>SUMIFS('Sales Data'!$I$2:$I$21,'Sales Data'!$B$2:$B$21,"&gt;="&amp;DATE(2026,3,1),'Sales Data'!$B$2:$B$21,"&lt;"&amp;DATE(2026,4,1))</f>
        <v>92000</v>
      </c>
    </row>
    <row r="14" spans="1:5" x14ac:dyDescent="0.35">
      <c r="A14" s="6" t="s">
        <v>23</v>
      </c>
      <c r="B14" s="6">
        <f>SUMIF('Sales Data'!D:D,A14,'Sales Data'!K:K)</f>
        <v>21700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PADE RAMESH</dc:creator>
  <cp:lastModifiedBy>PADE RAMESH</cp:lastModifiedBy>
  <dcterms:created xsi:type="dcterms:W3CDTF">2026-10-29T09:55:35Z</dcterms:created>
  <dcterms:modified xsi:type="dcterms:W3CDTF">2026-10-29T19:32:36Z</dcterms:modified>
</cp:coreProperties>
</file>